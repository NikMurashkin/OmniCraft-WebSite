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процеду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%"/>
    <numFmt numFmtId="166" formatCode="0.0 &quot; ч&quot;"/>
    <numFmt numFmtId="167" formatCode="#,##0 &quot;₽/ч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ru/" TargetMode="Externa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F40"/>
  <s:sheetViews>
    <s:sheetView showGridLines="1" workbookViewId="0">
      <s:selection activeCell="A1" sqref="A1"/>
    </s:sheetView>
  </s:sheetViews>
  <s:sheetFormatPr baseColWidth="8" defaultRowHeight="15"/>
  <s:cols>
    <s:col width="46" customWidth="1" min="1" max="1"/>
    <s:col width="12" customWidth="1" min="2" max="2"/>
    <s:col width="14" customWidth="1" min="3" max="3"/>
    <s:col width="16" customWidth="1" min="4" max="4"/>
    <s:col width="16" customWidth="1" min="5" max="5"/>
    <s:col width="20" customWidth="1" min="6" max="6"/>
  </s:cols>
  <s:sheetData>
    <s:row r="1" ht="28" customHeight="1">
      <s:c r="A1" s="1" t="inlineStr">
        <s:is>
          <s:t>КАЛЬКУЛЯТОР СЕБЕСТОИМОСТИ МАНИКЮРА И БЬЮТИ-УСЛУГ («ОмниКрафт ЕРП»)</s:t>
        </s:is>
      </s:c>
      <s:c r="B1" s="1" t="n"/>
      <s:c r="C1" s="1" t="n"/>
      <s:c r="D1" s="1" t="n"/>
      <s:c r="E1" s="1" t="n"/>
      <s:c r="F1" s="1" t="n"/>
    </s:row>
    <s:row r="2" ht="18" customHeight="1">
      <s:c r="A2" s="2" t="inlineStr">
        <s:is>
          <s:t>Покрытия, одноразовый набор, стерилизация СанПиН, аренда кабинета и норма-час</s:t>
        </s:is>
      </s:c>
      <s:c r="B2" s="2" t="n"/>
      <s:c r="C2" s="2" t="n"/>
      <s:c r="D2" s="2" t="n"/>
      <s:c r="E2" s="2" t="n"/>
      <s:c r="F2" s="2" t="n"/>
    </s:row>
    <s:row r="3" ht="18" customHeight="1">
      <s:c r="A3" s="3" t="inlineStr">
        <s:is>
          <s:t>Голубые ячейки — для ввода данных мастером. Серые и белые — защищены формулами.</s:t>
        </s:is>
      </s:c>
      <s:c r="B3" s="3" t="n"/>
      <s:c r="C3" s="3" t="n"/>
      <s:c r="D3" s="3" t="n"/>
      <s:c r="E3" s="3" t="n"/>
      <s:c r="F3" s="3" t="n"/>
    </s:row>
    <s:row r="4" ht="22" customHeight="1">
      <s:c r="A4" s="4" t="inlineStr">
        <s:is>
          <s:t>БЛОК 1: ПАСПОРТ ИЗДЕЛИЯ И ЦЕНА ПРОДАЖИ</s:t>
        </s:is>
      </s:c>
      <s:c r="B4" s="4" t="n"/>
      <s:c r="C4" s="4" t="n"/>
      <s:c r="D4" s="4" t="n"/>
      <s:c r="E4" s="4" t="n"/>
      <s:c r="F4" s="4" t="n"/>
    </s:row>
    <s:row r="5" ht="20" customHeight="1">
      <s:c r="A5" s="5" t="inlineStr">
        <s:is>
          <s:t>Наименование изделия / заказа</s:t>
        </s:is>
      </s:c>
      <s:c r="B5" s="5" t="n"/>
      <s:c r="C5" s="5" t="n"/>
      <s:c r="D5" s="6" t="inlineStr">
        <s:is>
          <s:t>Аппаратный маникюр с укреплением и гель-лаком</s:t>
        </s:is>
      </s:c>
      <s:c r="E5" s="6" t="n"/>
      <s:c r="F5" s="6" t="n"/>
    </s:row>
    <s:row r="6" ht="22" customHeight="1">
      <s:c r="A6" s="7" t="inlineStr">
        <s:is>
          <s:t>Розничная цена продажи изделия клиенту (P)</s:t>
        </s:is>
      </s:c>
      <s:c r="B6" s="7" t="n"/>
      <s:c r="C6" s="7" t="n"/>
      <s:c r="D6" s="7" t="n"/>
      <s:c r="E6" s="7" t="n"/>
      <s:c r="F6" s="8" t="n">
        <s:v>2400</s:v>
      </s:c>
    </s:row>
    <s:row r="8" ht="22" customHeight="1">
      <s:c r="A8" s="4" t="inlineStr">
        <s:is>
          <s:t>БЛОК 2: МАТЕРИАЛЫ ПОКРЫТИЯ НА 1 ПРОЦЕДУРУ</s:t>
        </s:is>
      </s:c>
      <s:c r="B8" s="4" t="n"/>
      <s:c r="C8" s="4" t="n"/>
      <s:c r="D8" s="4" t="n"/>
      <s:c r="E8" s="4" t="n"/>
      <s:c r="F8" s="4" t="n"/>
    </s:row>
    <s:row r="9" ht="20" customHeight="1">
      <s:c r="A9" s="9" t="inlineStr">
        <s:is>
          <s:t>Наименование сырья</s:t>
        </s:is>
      </s:c>
      <s:c r="B9" s="9" t="inlineStr">
        <s:is>
          <s:t>Ед. изм.</s:t>
        </s:is>
      </s:c>
      <s:c r="C9" s="9" t="inlineStr">
        <s:is>
          <s:t>Чистый расход</s:t>
        </s:is>
      </s:c>
      <s:c r="D9" s="9" t="inlineStr">
        <s:is>
          <s:t>Потери / Брак %</s:t>
        </s:is>
      </s:c>
      <s:c r="E9" s="9" t="inlineStr">
        <s:is>
          <s:t>Цена за ед.</s:t>
        </s:is>
      </s:c>
      <s:c r="F9" s="9" t="inlineStr">
        <s:is>
          <s:t>Сумма с учётом потерь</s:t>
        </s:is>
      </s:c>
    </s:row>
    <s:row r="10" ht="20" customHeight="1">
      <s:c r="A10" s="10" t="inlineStr">
        <s:is>
          <s:t>Базовый пирог покрытия (дегидратор, база, гель-лак 2 слоя, топ)</s:t>
        </s:is>
      </s:c>
      <s:c r="B10" s="11" t="inlineStr">
        <s:is>
          <s:t>процед.</s:t>
        </s:is>
      </s:c>
      <s:c r="C10" s="12" t="n">
        <s:v>1</s:v>
      </s:c>
      <s:c r="D10" s="13" t="n">
        <s:v>0.06</s:v>
      </s:c>
      <s:c r="E10" s="8" t="n">
        <s:v>160</s:v>
      </s:c>
      <s:c r="F10" s="14">
        <s:f>C10*(1+D10)*E10</s:f>
        <s:v>169.6</s:v>
      </s:c>
    </s:row>
    <s:row r="11" ht="20" customHeight="1">
      <s:c r="A11" s="15" t="inlineStr">
        <s:is>
          <s:t>⚠️ В том числе закопано в технологические потери (засыхание на горлышке флакона, остатки на палитре):</s:t>
        </s:is>
      </s:c>
      <s:c r="B11" s="15" t="n"/>
      <s:c r="C11" s="15" t="n"/>
      <s:c r="D11" s="15" t="n"/>
      <s:c r="E11" s="15" t="n"/>
      <s:c r="F11" s="16">
        <s:f>C10*D10*E10</s:f>
        <s:v>9.6</s:v>
      </s:c>
    </s:row>
    <s:row r="13" ht="22" customHeight="1">
      <s:c r="A13" s="4" t="inlineStr">
        <s:is>
          <s:t>БЛОК 3: ОДНОРАЗОВЫЙ ИНДИВИДУАЛЬНЫЙ НАБОР КЛИЕНТА</s:t>
        </s:is>
      </s:c>
      <s:c r="B13" s="4" t="n"/>
      <s:c r="C13" s="4" t="n"/>
      <s:c r="D13" s="4" t="n"/>
      <s:c r="E13" s="4" t="n"/>
      <s:c r="F13" s="4" t="n"/>
    </s:row>
    <s:row r="14" ht="20" customHeight="1">
      <s:c r="A14" s="9" t="inlineStr">
        <s:is>
          <s:t>Наименование позиции</s:t>
        </s:is>
      </s:c>
      <s:c r="B14" s="9" t="n"/>
      <s:c r="C14" s="9" t="inlineStr">
        <s:is>
          <s:t>Количество</s:t>
        </s:is>
      </s:c>
      <s:c r="D14" s="9" t="inlineStr">
        <s:is>
          <s:t>Цена за ед.</s:t>
        </s:is>
      </s:c>
      <s:c r="E14" s="9" t="inlineStr">
        <s:is>
          <s:t>Сумма</s:t>
        </s:is>
      </s:c>
      <s:c r="F14" s="9" t="n"/>
    </s:row>
    <s:row r="15" ht="20" customHeight="1">
      <s:c r="A15" s="5" t="inlineStr">
        <s:is>
          <s:t>Одноразовая пилка 100/180 и баф на вспененной основе</s:t>
        </s:is>
      </s:c>
      <s:c r="B15" s="5" t="n"/>
      <s:c r="C15" s="12" t="n">
        <s:v>1</s:v>
      </s:c>
      <s:c r="D15" s="8" t="n">
        <s:v>38</s:v>
      </s:c>
      <s:c r="E15" s="14">
        <s:f>C15*D15</s:f>
        <s:v>38</s:v>
      </s:c>
      <s:c r="F15" s="14" t="n"/>
    </s:row>
    <s:row r="16" ht="20" customHeight="1">
      <s:c r="A16" s="5" t="inlineStr">
        <s:is>
          <s:t>Нитриловые перчатки мастера + маска с угольным фильтром</s:t>
        </s:is>
      </s:c>
      <s:c r="B16" s="5" t="n"/>
      <s:c r="C16" s="12" t="n">
        <s:v>1</s:v>
      </s:c>
      <s:c r="D16" s="8" t="n">
        <s:v>32</s:v>
      </s:c>
      <s:c r="E16" s="14">
        <s:f>C16*D16</s:f>
        <s:v>32</s:v>
      </s:c>
      <s:c r="F16" s="14" t="n"/>
    </s:row>
    <s:row r="17" ht="20" customHeight="1">
      <s:c r="A17" s="5" t="inlineStr">
        <s:is>
          <s:t>Апельсиновые палочки и безворсовые салфетки</s:t>
        </s:is>
      </s:c>
      <s:c r="B17" s="5" t="n"/>
      <s:c r="C17" s="12" t="n">
        <s:v>1</s:v>
      </s:c>
      <s:c r="D17" s="8" t="n">
        <s:v>18</s:v>
      </s:c>
      <s:c r="E17" s="14">
        <s:f>C17*D17</s:f>
        <s:v>18</s:v>
      </s:c>
      <s:c r="F17" s="14" t="n"/>
    </s:row>
    <s:row r="18" ht="20" customHeight="1">
      <s:c r="A18" s="17" t="inlineStr">
        <s:is>
          <s:t>ИТОГО КОМПЛЕКТУЮЩИЕ И ДЕКОР:</s:t>
        </s:is>
      </s:c>
      <s:c r="B18" s="17" t="n"/>
      <s:c r="C18" s="17" t="n"/>
      <s:c r="D18" s="17" t="n"/>
      <s:c r="E18" s="18">
        <s:f>SUM(E15:E17)</s:f>
        <s:v>88</s:v>
      </s:c>
      <s:c r="F18" s="18" t="n"/>
    </s:row>
    <s:row r="20" ht="22" customHeight="1">
      <s:c r="A20" s="4" t="inlineStr">
        <s:is>
          <s:t>БЛОК 4: ДЕЗИНФЕКЦИЯ И СТЕРИЛИЗАЦИЯ (САНПИН)</s:t>
        </s:is>
      </s:c>
      <s:c r="B20" s="4" t="n"/>
      <s:c r="C20" s="4" t="n"/>
      <s:c r="D20" s="4" t="n"/>
      <s:c r="E20" s="4" t="n"/>
      <s:c r="F20" s="4" t="n"/>
    </s:row>
    <s:row r="21" ht="20" customHeight="1">
      <s:c r="A21" s="5" t="inlineStr">
        <s:is>
          <s:t>Крафт-пакет для сухожара с химическим индикатором</s:t>
        </s:is>
      </s:c>
      <s:c r="B21" s="5" t="n"/>
      <s:c r="C21" s="12" t="n">
        <s:v>1</s:v>
      </s:c>
      <s:c r="D21" s="8" t="n">
        <s:v>16</s:v>
      </s:c>
      <s:c r="E21" s="14">
        <s:f>C21*D21</s:f>
        <s:v>16</s:v>
      </s:c>
      <s:c r="F21" s="14" t="n"/>
    </s:row>
    <s:row r="22" ht="20" customHeight="1">
      <s:c r="A22" s="5" t="inlineStr">
        <s:is>
          <s:t>Концентрат дезраствора ультразвуковой ванны (Оптимакс)</s:t>
        </s:is>
      </s:c>
      <s:c r="B22" s="5" t="n"/>
      <s:c r="C22" s="12" t="n">
        <s:v>1</s:v>
      </s:c>
      <s:c r="D22" s="8" t="n">
        <s:v>24</s:v>
      </s:c>
      <s:c r="E22" s="14">
        <s:f>C22*D22</s:f>
        <s:v>24</s:v>
      </s:c>
      <s:c r="F22" s="14" t="n"/>
    </s:row>
    <s:row r="23" ht="20" customHeight="1">
      <s:c r="A23" s="5" t="inlineStr">
        <s:is>
          <s:t>Клиентский сервис (пилочка в подарок, кофе/чай, брендовый пакет)</s:t>
        </s:is>
      </s:c>
      <s:c r="B23" s="5" t="n"/>
      <s:c r="C23" s="12" t="n">
        <s:v>1</s:v>
      </s:c>
      <s:c r="D23" s="8" t="n">
        <s:v>65</s:v>
      </s:c>
      <s:c r="E23" s="14">
        <s:f>C23*D23</s:f>
        <s:v>65</s:v>
      </s:c>
      <s:c r="F23" s="14" t="n"/>
    </s:row>
    <s:row r="24" ht="20" customHeight="1">
      <s:c r="A24" s="17" t="inlineStr">
        <s:is>
          <s:t>ИТОГО РАСХОДНИКИ И УПАКОВКА:</s:t>
        </s:is>
      </s:c>
      <s:c r="B24" s="17" t="n"/>
      <s:c r="C24" s="17" t="n"/>
      <s:c r="D24" s="17" t="n"/>
      <s:c r="E24" s="18">
        <s:f>SUM(E21:E23)</s:f>
        <s:v>105</s:v>
      </s:c>
      <s:c r="F24" s="18" t="n"/>
    </s:row>
    <s:row r="26" ht="22" customHeight="1">
      <s:c r="A26" s="4" t="inlineStr">
        <s:is>
          <s:t>БЛОК 5: РАБОЧЕЕ ВРЕМЯ И ИЗНОС ОБОРУДОВАНИЯ</s:t>
        </s:is>
      </s:c>
      <s:c r="B26" s="4" t="n"/>
      <s:c r="C26" s="4" t="n"/>
      <s:c r="D26" s="4" t="n"/>
      <s:c r="E26" s="4" t="n"/>
      <s:c r="F26" s="4" t="n"/>
    </s:row>
    <s:row r="27" ht="20" customHeight="1">
      <s:c r="A27" s="5" t="inlineStr">
        <s:is>
          <s:t>Чистое время работы мастера / оператора на изделие (T)</s:t>
        </s:is>
      </s:c>
      <s:c r="B27" s="5" t="n"/>
      <s:c r="C27" s="5" t="n"/>
      <s:c r="D27" s="5" t="n"/>
      <s:c r="E27" s="5" t="n"/>
      <s:c r="F27" s="19" t="n">
        <s:v>2</s:v>
      </s:c>
    </s:row>
    <s:row r="28" ht="20" customHeight="1">
      <s:c r="A28" s="5" t="inlineStr">
        <s:is>
          <s:t>Целевая ставка оплаты труда мастера за 1 час (R)</s:t>
        </s:is>
      </s:c>
      <s:c r="B28" s="5" t="n"/>
      <s:c r="C28" s="5" t="n"/>
      <s:c r="D28" s="5" t="n"/>
      <s:c r="E28" s="5" t="n"/>
      <s:c r="F28" s="20" t="n">
        <s:v>550</s:v>
      </s:c>
    </s:row>
    <s:row r="29" ht="20" customHeight="1">
      <s:c r="A29" s="5" t="inlineStr">
        <s:is>
          <s:t>Износ оборудования и аренда цеха в час (почасовая аренда рабочего места в коворкинге, лампа, аппарат)</s:t>
        </s:is>
      </s:c>
      <s:c r="B29" s="5" t="n"/>
      <s:c r="C29" s="5" t="n"/>
      <s:c r="D29" s="5" t="n"/>
      <s:c r="E29" s="5" t="n"/>
      <s:c r="F29" s="20" t="n">
        <s:v>180</s:v>
      </s:c>
    </s:row>
    <s:row r="30" ht="20" customHeight="1">
      <s:c r="A30" s="17" t="inlineStr">
        <s:is>
          <s:t>ИТОГО ТРУД И АМОРТИЗАЦИЯ ОБОРУДОВАНИЯ (T × [R + Износ]):</s:t>
        </s:is>
      </s:c>
      <s:c r="B30" s="17" t="n"/>
      <s:c r="C30" s="17" t="n"/>
      <s:c r="D30" s="17" t="n"/>
      <s:c r="E30" s="17" t="n"/>
      <s:c r="F30" s="18">
        <s:f>F27*(F28+F29)</s:f>
        <s:v>1460</s:v>
      </s:c>
    </s:row>
    <s:row r="32" ht="22" customHeight="1">
      <s:c r="A32" s="4" t="inlineStr">
        <s:is>
          <s:t>БЛОК 6: СВОДНЫЙ РАСЧЁТ СЕБЕСТОИМОСТИ И ФИНАНСОВЫЙ ДИАГНОЗ</s:t>
        </s:is>
      </s:c>
      <s:c r="B32" s="4" t="n"/>
      <s:c r="C32" s="4" t="n"/>
      <s:c r="D32" s="4" t="n"/>
      <s:c r="E32" s="4" t="n"/>
      <s:c r="F32" s="4" t="n"/>
    </s:row>
    <s:row r="33" ht="24" customHeight="1">
      <s:c r="A33" s="21" t="inlineStr">
        <s:is>
          <s:t>ПОЛНАЯ СЕБЕСТОИМОСТЬ ИЗДЕЛИЯ (Сырьё + Комплектующие + Расходники + Труд):</s:t>
        </s:is>
      </s:c>
      <s:c r="B33" s="21" t="n"/>
      <s:c r="C33" s="21" t="n"/>
      <s:c r="D33" s="21" t="n"/>
      <s:c r="E33" s="21" t="n"/>
      <s:c r="F33" s="22">
        <s:f>F10+E18+E24+F30</s:f>
        <s:v>1822.6</s:v>
      </s:c>
    </s:row>
    <s:row r="34" ht="24" customHeight="1">
      <s:c r="A34" s="23" t="inlineStr">
        <s:is>
          <s:t>ЧИСТАЯ ПРИБЫЛЬ МАСТЕРСКОЙ С ЗАКАЗА (Цена продажи − Себестоимость):</s:t>
        </s:is>
      </s:c>
      <s:c r="B34" s="23" t="n"/>
      <s:c r="C34" s="23" t="n"/>
      <s:c r="D34" s="23" t="n"/>
      <s:c r="E34" s="23" t="n"/>
      <s:c r="F34" s="24">
        <s:f>F6-F33</s:f>
        <s:v>577.4</s:v>
      </s:c>
    </s:row>
    <s:row r="35" ht="20" customHeight="1">
      <s:c r="A35" s="5" t="inlineStr">
        <s:is>
          <s:t>Рентабельность изделия по марже (Чистая прибыль / Цена):</s:t>
        </s:is>
      </s:c>
      <s:c r="B35" s="5" t="n"/>
      <s:c r="C35" s="5" t="n"/>
      <s:c r="D35" s="5" t="n"/>
      <s:c r="E35" s="5" t="n"/>
      <s:c r="F35" s="25">
        <s:f>IF(F6&gt;0, F34/F6, 0)</s:f>
        <s:v>0.2405833333333333</s:v>
      </s:c>
    </s:row>
    <s:row r="36" ht="28" customHeight="1">
      <s:c r="A36" s="26" t="str">
        <s:f>IF(F34&lt;0, "🔴 Иллюзия прибыли: процедура выполняется в убыток. Низкий прайс не окупает аренду и расходники!", IF(F35&lt;0.15, "🟡 Скрытый риск: маржа ниже 15%. Длительная процедура (свыше 2 часов) сжигает вашу зарплату.", "🟢 Здоровый заказ: процедура полностью покрывает аренду, СанПиН, покрытия, норма-час и приносит прибыль."))</s:f>
        <s:v>🟢 Здоровый заказ: процедура полностью покрывает аренду, СанПиН, покрытия, норма-час и приносит прибыль.</s:v>
      </s:c>
      <s:c r="B36" s="26" t="n"/>
      <s:c r="C36" s="26" t="n"/>
      <s:c r="D36" s="26" t="n"/>
      <s:c r="E36" s="26" t="n"/>
      <s:c r="F36" s="26" t="n"/>
    </s:row>
    <s:row r="38" ht="24" customHeight="1">
      <s:c r="A38" s="27" t="inlineStr">
        <s:is>
          <s:t>ХОТИТЕ ВЕСТИ УЧЁТ ПРОФЕССИОНАЛЬНО? ПОПРОБУЙТЕ «ОМНИКРАФТ ЕРП»</s:t>
        </s:is>
      </s:c>
      <s:c r="B38" s="27" t="n"/>
      <s:c r="C38" s="27" t="n"/>
      <s:c r="D38" s="27" t="n"/>
      <s:c r="E38" s="27" t="n"/>
      <s:c r="F38" s="27" t="n"/>
    </s:row>
    <s:row r="39" ht="18" customHeight="1">
      <s:c r="A39" s="28" t="inlineStr">
        <s:is>
          <s:t>Автономная настольная система для мастеров: рецепты, партионный склад и контроль кассы</s:t>
        </s:is>
      </s:c>
      <s:c r="B39" s="28" t="n"/>
      <s:c r="C39" s="28" t="n"/>
      <s:c r="D39" s="28" t="n"/>
      <s:c r="E39" s="28" t="n"/>
      <s:c r="F39" s="28" t="n"/>
    </s:row>
    <s:row r="40" ht="22" customHeight="1">
      <s:c r="A40" s="29" t="inlineStr">
        <s:is>
          <s:t>Скачать бесплатно на официальном сайте: https://omnicraft-erp.com/ru/</s:t>
        </s:is>
      </s:c>
      <s:c r="B40" s="29" t="n"/>
      <s:c r="C40" s="29" t="n"/>
      <s:c r="D40" s="29" t="n"/>
      <s:c r="E40" s="29" t="n"/>
      <s:c r="F40" s="29" t="n"/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/>
  <s:mergeCells count="42">
    <s:mergeCell ref="A30:E30"/>
    <s:mergeCell ref="A34:E34"/>
    <s:mergeCell ref="A15:B15"/>
    <s:mergeCell ref="E24:F24"/>
    <s:mergeCell ref="A11:E11"/>
    <s:mergeCell ref="E23:F23"/>
    <s:mergeCell ref="E14:F14"/>
    <s:mergeCell ref="A3:F3"/>
    <s:mergeCell ref="E17:F17"/>
    <s:mergeCell ref="A6:E6"/>
    <s:mergeCell ref="A26:F26"/>
    <s:mergeCell ref="A2:F2"/>
    <s:mergeCell ref="A16:B16"/>
    <s:mergeCell ref="A5:C5"/>
    <s:mergeCell ref="A32:F32"/>
    <s:mergeCell ref="A8:F8"/>
    <s:mergeCell ref="A24:D24"/>
    <s:mergeCell ref="A4:F4"/>
    <s:mergeCell ref="A20:F20"/>
    <s:mergeCell ref="A27:E27"/>
    <s:mergeCell ref="A38:F38"/>
    <s:mergeCell ref="A21:B21"/>
    <s:mergeCell ref="D5:F5"/>
    <s:mergeCell ref="A13:F13"/>
    <s:mergeCell ref="E15:F15"/>
    <s:mergeCell ref="A33:E33"/>
    <s:mergeCell ref="A14:B14"/>
    <s:mergeCell ref="A40:F40"/>
    <s:mergeCell ref="A17:B17"/>
    <s:mergeCell ref="A23:B23"/>
    <s:mergeCell ref="A39:F39"/>
    <s:mergeCell ref="A22:B22"/>
    <s:mergeCell ref="A18:D18"/>
    <s:mergeCell ref="A29:E29"/>
    <s:mergeCell ref="A35:E35"/>
    <s:mergeCell ref="E16:F16"/>
    <s:mergeCell ref="A36:F36"/>
    <s:mergeCell ref="A1:F1"/>
    <s:mergeCell ref="A28:E28"/>
    <s:mergeCell ref="E22:F22"/>
    <s:mergeCell ref="E18:F18"/>
    <s:mergeCell ref="E21:F21"/>
  </s:mergeCells>
  <s:hyperlinks>
    <s:hyperlink ref="A40" r:id="rId1"/>
  </s:hyperlink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