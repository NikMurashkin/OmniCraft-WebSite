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ke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CAKE &amp; PASTRY COST CALCULATOR &amp; ESTIMATE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Raw batch mix, baking shrinkage, cream cheese, fresh berries, sturdy packaging &amp; pastry labor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Blue cells — editable user inputs. White and gray cells — locked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SECTION 1: PRODUCT INFO &amp; SELLING PRICE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Product Name / Order Reference</t>
        </is>
      </c>
      <c r="B5" s="5" t="n"/>
      <c r="C5" s="5" t="n"/>
      <c r="D5" s="6" t="inlineStr">
        <is>
          <t>Red Velvet Berry Layer Cake (2.2 kg / 5 lbs)</t>
        </is>
      </c>
      <c r="E5" s="6" t="n"/>
      <c r="F5" s="6" t="n"/>
    </row>
    <row r="6" ht="22" customHeight="1">
      <c r="A6" s="7" t="inlineStr">
        <is>
          <t>Retail Selling Price to Customer (P)</t>
        </is>
      </c>
      <c r="B6" s="7" t="n"/>
      <c r="C6" s="7" t="n"/>
      <c r="D6" s="7" t="n"/>
      <c r="E6" s="7" t="n"/>
      <c r="F6" s="8" t="n">
        <v>135</v>
      </c>
    </row>
    <row r="8" ht="22" customHeight="1">
      <c r="A8" s="4" t="inlineStr">
        <is>
          <t>SECTION 2: BASE SPONGE INGREDIENTS &amp; RAW BATCH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Raw Material Name</t>
        </is>
      </c>
      <c r="B9" s="9" t="inlineStr">
        <is>
          <t>Unit</t>
        </is>
      </c>
      <c r="C9" s="9" t="inlineStr">
        <is>
          <t>Net Usage</t>
        </is>
      </c>
      <c r="D9" s="9" t="inlineStr">
        <is>
          <t>Waste Margin %</t>
        </is>
      </c>
      <c r="E9" s="9" t="inlineStr">
        <is>
          <t>Unit Price</t>
        </is>
      </c>
      <c r="F9" s="9" t="inlineStr">
        <is>
          <t>Gross Cost with Waste</t>
        </is>
      </c>
    </row>
    <row r="10" ht="20" customHeight="1">
      <c r="A10" s="10" t="inlineStr">
        <is>
          <t>Raw Batch Ingredients (Flour, sugar, eggs, butter, cocoa)</t>
        </is>
      </c>
      <c r="B10" s="11" t="inlineStr">
        <is>
          <t>kg</t>
        </is>
      </c>
      <c r="C10" s="12" t="n">
        <v>2</v>
      </c>
      <c r="D10" s="13" t="n">
        <v>0.18</v>
      </c>
      <c r="E10" s="8" t="n">
        <v>8.390000000000001</v>
      </c>
      <c r="F10" s="14">
        <f>C10*(1+D10)*E10</f>
        <v/>
      </c>
    </row>
    <row r="11" ht="20" customHeight="1">
      <c r="A11" s="15" t="inlineStr">
        <is>
          <t>⚠️ Including lost to waste &amp; processing margins (oven evaporation shrinkage 12% &amp; dome trimming 6%):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SECTION 3: FROSTING, FILLINGS &amp; FRESH DECOR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Component / Item</t>
        </is>
      </c>
      <c r="B14" s="9" t="n"/>
      <c r="C14" s="9" t="inlineStr">
        <is>
          <t>Quantity</t>
        </is>
      </c>
      <c r="D14" s="9" t="inlineStr">
        <is>
          <t>Unit Price</t>
        </is>
      </c>
      <c r="E14" s="9" t="inlineStr">
        <is>
          <t>Total Cost</t>
        </is>
      </c>
      <c r="F14" s="9" t="n"/>
    </row>
    <row r="15" ht="20" customHeight="1">
      <c r="A15" s="5" t="inlineStr">
        <is>
          <t>Raspberry Confit with NH Pectin</t>
        </is>
      </c>
      <c r="B15" s="5" t="n"/>
      <c r="C15" s="12" t="n">
        <v>1</v>
      </c>
      <c r="D15" s="8" t="n">
        <v>2.2</v>
      </c>
      <c r="E15" s="14">
        <f>C15*D15</f>
        <v/>
      </c>
      <c r="F15" s="14" t="n"/>
    </row>
    <row r="16" ht="20" customHeight="1">
      <c r="A16" s="5" t="inlineStr">
        <is>
          <t>Fresh Blueberry Punnet (strict FIFO)</t>
        </is>
      </c>
      <c r="B16" s="5" t="n"/>
      <c r="C16" s="12" t="n">
        <v>1</v>
      </c>
      <c r="D16" s="8" t="n">
        <v>6</v>
      </c>
      <c r="E16" s="14">
        <f>C16*D16</f>
        <v/>
      </c>
      <c r="F16" s="14" t="n"/>
    </row>
    <row r="17" ht="20" customHeight="1">
      <c r="A17" s="17" t="inlineStr">
        <is>
          <t>TOTAL HARDWARE &amp; COMPONENTS:</t>
        </is>
      </c>
      <c r="B17" s="17" t="n"/>
      <c r="C17" s="17" t="n"/>
      <c r="D17" s="17" t="n"/>
      <c r="E17" s="18">
        <f>SUM(E15:E16)</f>
        <v/>
      </c>
      <c r="F17" s="18" t="n"/>
    </row>
    <row r="19" ht="22" customHeight="1">
      <c r="A19" s="4" t="inlineStr">
        <is>
          <t>SECTION 4: PASTRY SUPPLIES &amp; HEAVY PACKAGING</t>
        </is>
      </c>
      <c r="B19" s="4" t="n"/>
      <c r="C19" s="4" t="n"/>
      <c r="D19" s="4" t="n"/>
      <c r="E19" s="4" t="n"/>
      <c r="F19" s="4" t="n"/>
    </row>
    <row r="20" ht="20" customHeight="1">
      <c r="A20" s="5" t="inlineStr">
        <is>
          <t>Piping Bags, Parchment &amp; Film</t>
        </is>
      </c>
      <c r="B20" s="5" t="n"/>
      <c r="C20" s="12" t="n">
        <v>1</v>
      </c>
      <c r="D20" s="8" t="n">
        <v>1.5</v>
      </c>
      <c r="E20" s="14">
        <f>C20*D20</f>
        <v/>
      </c>
      <c r="F20" s="14" t="n"/>
    </row>
    <row r="21" ht="20" customHeight="1">
      <c r="A21" s="5" t="inlineStr">
        <is>
          <t>Heavy Moisture-Resistant Cake Drum (12 mm) + Tall Window Box</t>
        </is>
      </c>
      <c r="B21" s="5" t="n"/>
      <c r="C21" s="12" t="n">
        <v>1</v>
      </c>
      <c r="D21" s="8" t="n">
        <v>4.8</v>
      </c>
      <c r="E21" s="14">
        <f>C21*D21</f>
        <v/>
      </c>
      <c r="F21" s="14" t="n"/>
    </row>
    <row r="22" ht="20" customHeight="1">
      <c r="A22" s="17" t="inlineStr">
        <is>
          <t>TOTAL SUPPLIES &amp; PACKAGING:</t>
        </is>
      </c>
      <c r="B22" s="17" t="n"/>
      <c r="C22" s="17" t="n"/>
      <c r="D22" s="17" t="n"/>
      <c r="E22" s="18">
        <f>SUM(E20:E21)</f>
        <v/>
      </c>
      <c r="F22" s="18" t="n"/>
    </row>
    <row r="24" ht="22" customHeight="1">
      <c r="A24" s="4" t="inlineStr">
        <is>
          <t>SECTION 5: LABOR &amp; EQUIPMENT DEPRECIATION</t>
        </is>
      </c>
      <c r="B24" s="4" t="n"/>
      <c r="C24" s="4" t="n"/>
      <c r="D24" s="4" t="n"/>
      <c r="E24" s="4" t="n"/>
      <c r="F24" s="4" t="n"/>
    </row>
    <row r="25" ht="20" customHeight="1">
      <c r="A25" s="5" t="inlineStr">
        <is>
          <t>Active Production / Craft Labor Time (T)</t>
        </is>
      </c>
      <c r="B25" s="5" t="n"/>
      <c r="C25" s="5" t="n"/>
      <c r="D25" s="5" t="n"/>
      <c r="E25" s="5" t="n"/>
      <c r="F25" s="19" t="n">
        <v>3</v>
      </c>
    </row>
    <row r="26" ht="20" customHeight="1">
      <c r="A26" s="5" t="inlineStr">
        <is>
          <t>Target Billable Labor Hourly Rate (R)</t>
        </is>
      </c>
      <c r="B26" s="5" t="n"/>
      <c r="C26" s="5" t="n"/>
      <c r="D26" s="5" t="n"/>
      <c r="E26" s="5" t="n"/>
      <c r="F26" s="20" t="n">
        <v>24</v>
      </c>
    </row>
    <row r="27" ht="20" customHeight="1">
      <c r="A27" s="5" t="inlineStr">
        <is>
          <t>Tool wear &amp; shop overhead allocated per hour (convection oven electricity, mixer motor, refrigeration &amp; pan wear)</t>
        </is>
      </c>
      <c r="B27" s="5" t="n"/>
      <c r="C27" s="5" t="n"/>
      <c r="D27" s="5" t="n"/>
      <c r="E27" s="5" t="n"/>
      <c r="F27" s="20" t="n">
        <v>1.1</v>
      </c>
    </row>
    <row r="28" ht="20" customHeight="1">
      <c r="A28" s="17" t="inlineStr">
        <is>
          <t>TOTAL LABOR &amp; EQUIPMENT ALLOCATION (T × [R + Wear]):</t>
        </is>
      </c>
      <c r="B28" s="17" t="n"/>
      <c r="C28" s="17" t="n"/>
      <c r="D28" s="17" t="n"/>
      <c r="E28" s="17" t="n"/>
      <c r="F28" s="18">
        <f>F25*(F26+F27)</f>
        <v/>
      </c>
    </row>
    <row r="30" ht="22" customHeight="1">
      <c r="A30" s="4" t="inlineStr">
        <is>
          <t>SECTION 6: COST SUMMARY &amp; FINANCIAL DIAGNOSIS</t>
        </is>
      </c>
      <c r="B30" s="4" t="n"/>
      <c r="C30" s="4" t="n"/>
      <c r="D30" s="4" t="n"/>
      <c r="E30" s="4" t="n"/>
      <c r="F30" s="4" t="n"/>
    </row>
    <row r="31" ht="24" customHeight="1">
      <c r="A31" s="21" t="inlineStr">
        <is>
          <t>TOTAL PRODUCTION UNIT COST (Materials + Hardware + Supplies + Labor):</t>
        </is>
      </c>
      <c r="B31" s="21" t="n"/>
      <c r="C31" s="21" t="n"/>
      <c r="D31" s="21" t="n"/>
      <c r="E31" s="21" t="n"/>
      <c r="F31" s="22">
        <f>F10+E17+E22+F28</f>
        <v/>
      </c>
    </row>
    <row r="32" ht="24" customHeight="1">
      <c r="A32" s="23" t="inlineStr">
        <is>
          <t>NET WORKSHOP PROFIT PER UNIT (Selling Price − Total Cost):</t>
        </is>
      </c>
      <c r="B32" s="23" t="n"/>
      <c r="C32" s="23" t="n"/>
      <c r="D32" s="23" t="n"/>
      <c r="E32" s="23" t="n"/>
      <c r="F32" s="24">
        <f>F6-F31</f>
        <v/>
      </c>
    </row>
    <row r="33" ht="20" customHeight="1">
      <c r="A33" s="5" t="inlineStr">
        <is>
          <t>Net Profit Margin (Net Profit / Price):</t>
        </is>
      </c>
      <c r="B33" s="5" t="n"/>
      <c r="C33" s="5" t="n"/>
      <c r="D33" s="5" t="n"/>
      <c r="E33" s="5" t="n"/>
      <c r="F33" s="25">
        <f>IF(F6&gt;0, F32/F6, 0)</f>
        <v/>
      </c>
    </row>
    <row r="34" ht="28" customHeight="1">
      <c r="A34" s="26">
        <f>IF(F32&lt;0, "🔴 Profit illusion: cake sold at a net loss. You work for free and subsidize berries and cheese!", IF(F33&lt;0.15, "🟡 Hidden risk: margin below 15%. A single curdled frosting batch will wipe out profit.", "🟢 Healthy order: cake covers all ingredients, shrinkage, packaging, pastry labor, and earns clean profit."))</f>
        <v/>
      </c>
      <c r="B34" s="26" t="n"/>
      <c r="C34" s="26" t="n"/>
      <c r="D34" s="26" t="n"/>
      <c r="E34" s="26" t="n"/>
      <c r="F34" s="26" t="n"/>
    </row>
    <row r="36" ht="24" customHeight="1">
      <c r="A36" s="27" t="inlineStr">
        <is>
          <t>WANT PROFESSIONAL WORKSHOP MANAGEMENT? TRY OMNICRAFT ERP</t>
        </is>
      </c>
      <c r="B36" s="27" t="n"/>
      <c r="C36" s="27" t="n"/>
      <c r="D36" s="27" t="n"/>
      <c r="E36" s="27" t="n"/>
      <c r="F36" s="27" t="n"/>
    </row>
    <row r="37" ht="18" customHeight="1">
      <c r="A37" s="28" t="inlineStr">
        <is>
          <t>Local-first desktop ERP for artisans: recipes, batch moving-average inventory, and workbench kanban</t>
        </is>
      </c>
      <c r="B37" s="28" t="n"/>
      <c r="C37" s="28" t="n"/>
      <c r="D37" s="28" t="n"/>
      <c r="E37" s="28" t="n"/>
      <c r="F37" s="28" t="n"/>
    </row>
    <row r="38" ht="22" customHeight="1">
      <c r="A38" s="29" t="inlineStr">
        <is>
          <t>Download free from the official website: https://omnicraft-erp.com/</t>
        </is>
      </c>
      <c r="B38" s="29" t="n"/>
      <c r="C38" s="29" t="n"/>
      <c r="D38" s="29" t="n"/>
      <c r="E38" s="29" t="n"/>
      <c r="F38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8">
    <mergeCell ref="A17:D17"/>
    <mergeCell ref="A15:B15"/>
    <mergeCell ref="A22:D22"/>
    <mergeCell ref="A37:F37"/>
    <mergeCell ref="A11:E11"/>
    <mergeCell ref="E14:F14"/>
    <mergeCell ref="A3:F3"/>
    <mergeCell ref="E17:F17"/>
    <mergeCell ref="A6:E6"/>
    <mergeCell ref="A2:F2"/>
    <mergeCell ref="A16:B16"/>
    <mergeCell ref="E20:F20"/>
    <mergeCell ref="A5:C5"/>
    <mergeCell ref="A25:E25"/>
    <mergeCell ref="A8:F8"/>
    <mergeCell ref="A4:F4"/>
    <mergeCell ref="A27:E27"/>
    <mergeCell ref="A38:F38"/>
    <mergeCell ref="A21:B21"/>
    <mergeCell ref="A26:E26"/>
    <mergeCell ref="D5:F5"/>
    <mergeCell ref="A13:F13"/>
    <mergeCell ref="E15:F15"/>
    <mergeCell ref="A19:F19"/>
    <mergeCell ref="A33:E33"/>
    <mergeCell ref="A14:B14"/>
    <mergeCell ref="A34:F34"/>
    <mergeCell ref="A32:E32"/>
    <mergeCell ref="A30:F30"/>
    <mergeCell ref="A24:F24"/>
    <mergeCell ref="A20:B20"/>
    <mergeCell ref="E16:F16"/>
    <mergeCell ref="A36:F36"/>
    <mergeCell ref="A1:F1"/>
    <mergeCell ref="A28:E28"/>
    <mergeCell ref="E22:F22"/>
    <mergeCell ref="A31:E31"/>
    <mergeCell ref="E21:F21"/>
  </mergeCells>
  <hyperlinks>
    <hyperlink xmlns:r="http://schemas.openxmlformats.org/officeDocument/2006/relationships" ref="A3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