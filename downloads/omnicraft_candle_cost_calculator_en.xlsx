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 &quot; hrs&quot;"/>
    <numFmt numFmtId="167" formatCode="&quot;$&quot;#,##0.00&quot;/hr&quot;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9.5"/>
    </font>
    <font>
      <name val="Segoe UI"/>
      <i val="1"/>
      <color rgb="0064748B"/>
      <sz val="8.5"/>
    </font>
    <font>
      <name val="Segoe UI"/>
      <b val="1"/>
      <color rgb="000F172A"/>
      <sz val="10.5"/>
    </font>
    <font>
      <name val="Segoe UI"/>
      <color rgb="001E293B"/>
      <sz val="9.5"/>
    </font>
    <font>
      <name val="Segoe UI"/>
      <color rgb="001D4ED8"/>
      <sz val="9.5"/>
    </font>
    <font>
      <name val="Segoe UI"/>
      <b val="1"/>
      <color rgb="000F172A"/>
      <sz val="9.5"/>
    </font>
    <font>
      <name val="Segoe UI"/>
      <b val="1"/>
      <color rgb="001D4ED8"/>
      <sz val="9.5"/>
    </font>
    <font>
      <name val="Segoe UI"/>
      <b val="1"/>
      <color rgb="00334155"/>
      <sz val="9"/>
    </font>
    <font>
      <name val="Segoe UI"/>
      <b val="1"/>
      <color rgb="00B45309"/>
      <sz val="9.5"/>
    </font>
    <font>
      <name val="Segoe UI"/>
      <b val="1"/>
      <color rgb="001E3A8A"/>
      <sz val="9.5"/>
    </font>
    <font>
      <name val="Segoe UI"/>
      <b val="1"/>
      <color rgb="001E3A8A"/>
      <sz val="10.5"/>
    </font>
    <font>
      <name val="Segoe UI"/>
      <b val="1"/>
      <color rgb="00047857"/>
      <sz val="10.5"/>
    </font>
    <font>
      <name val="Segoe UI"/>
      <b val="1"/>
      <color rgb="00F8FAFC"/>
      <sz val="10.5"/>
    </font>
    <font>
      <name val="Segoe UI"/>
      <color rgb="00CBD5E1"/>
      <sz val="9"/>
    </font>
    <font>
      <name val="Segoe UI"/>
      <b val="1"/>
      <color rgb="0038BDF8"/>
      <sz val="9.5"/>
      <u val="single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8F0FE"/>
        <bgColor rgb="00E8F0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4" borderId="2" applyAlignment="1" applyProtection="1" pivotButton="0" quotePrefix="0" xfId="0">
      <alignment horizontal="left" vertical="center"/>
      <protection locked="0" hidden="0"/>
    </xf>
    <xf numFmtId="0" fontId="7" fillId="0" borderId="1" applyAlignment="1" pivotButton="0" quotePrefix="0" xfId="0">
      <alignment horizontal="left" vertical="center"/>
    </xf>
    <xf numFmtId="164" fontId="8" fillId="4" borderId="2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4" borderId="2" applyAlignment="1" applyProtection="1" pivotButton="0" quotePrefix="0" xfId="0">
      <alignment horizontal="right" vertical="center"/>
      <protection locked="0" hidden="0"/>
    </xf>
    <xf numFmtId="165" fontId="8" fillId="4" borderId="2" applyAlignment="1" applyProtection="1" pivotButton="0" quotePrefix="0" xfId="0">
      <alignment horizontal="right" vertical="center"/>
      <protection locked="0" hidden="0"/>
    </xf>
    <xf numFmtId="164" fontId="7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8" fillId="4" borderId="2" applyAlignment="1" applyProtection="1" pivotButton="0" quotePrefix="0" xfId="0">
      <alignment horizontal="right" vertical="center"/>
      <protection locked="0" hidden="0"/>
    </xf>
    <xf numFmtId="167" fontId="8" fillId="4" borderId="2" applyAlignment="1" applyProtection="1" pivotButton="0" quotePrefix="0" xfId="0">
      <alignment horizontal="right" vertical="center"/>
      <protection locked="0" hidden="0"/>
    </xf>
    <xf numFmtId="0" fontId="12" fillId="7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mnicraft-erp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6" customWidth="1" min="4" max="4"/>
    <col width="16" customWidth="1" min="5" max="5"/>
    <col width="20" customWidth="1" min="6" max="6"/>
  </cols>
  <sheetData>
    <row r="1" ht="28" customHeight="1">
      <c r="A1" s="1" t="inlineStr">
        <is>
          <t>CANDLE &amp; SOAP MAKING COST CALCULATOR (OmniCraft ERP)</t>
        </is>
      </c>
      <c r="B1" s="1" t="n"/>
      <c r="C1" s="1" t="n"/>
      <c r="D1" s="1" t="n"/>
      <c r="E1" s="1" t="n"/>
      <c r="F1" s="1" t="n"/>
    </row>
    <row r="2" ht="18" customHeight="1">
      <c r="A2" s="2" t="inlineStr">
        <is>
          <t>Soy wax weight, density conversion, 10% fragrance load, wood wicks &amp; glassware</t>
        </is>
      </c>
      <c r="B2" s="2" t="n"/>
      <c r="C2" s="2" t="n"/>
      <c r="D2" s="2" t="n"/>
      <c r="E2" s="2" t="n"/>
      <c r="F2" s="2" t="n"/>
    </row>
    <row r="3" ht="18" customHeight="1">
      <c r="A3" s="3" t="inlineStr">
        <is>
          <t>Blue cells — editable user inputs. White and gray cells — locked formulas.</t>
        </is>
      </c>
      <c r="B3" s="3" t="n"/>
      <c r="C3" s="3" t="n"/>
      <c r="D3" s="3" t="n"/>
      <c r="E3" s="3" t="n"/>
      <c r="F3" s="3" t="n"/>
    </row>
    <row r="4" ht="22" customHeight="1">
      <c r="A4" s="4" t="inlineStr">
        <is>
          <t>SECTION 1: PRODUCT INFO &amp; SELLING PRICE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Product Name / Order Reference</t>
        </is>
      </c>
      <c r="B5" s="5" t="n"/>
      <c r="C5" s="5" t="n"/>
      <c r="D5" s="6" t="inlineStr">
        <is>
          <t>Scented Soy Candle in 8 oz Amber Glass Jar</t>
        </is>
      </c>
      <c r="E5" s="6" t="n"/>
      <c r="F5" s="6" t="n"/>
    </row>
    <row r="6" ht="22" customHeight="1">
      <c r="A6" s="7" t="inlineStr">
        <is>
          <t>Retail Selling Price to Customer (P)</t>
        </is>
      </c>
      <c r="B6" s="7" t="n"/>
      <c r="C6" s="7" t="n"/>
      <c r="D6" s="7" t="n"/>
      <c r="E6" s="7" t="n"/>
      <c r="F6" s="8" t="n">
        <v>24</v>
      </c>
    </row>
    <row r="8" ht="22" customHeight="1">
      <c r="A8" s="4" t="inlineStr">
        <is>
          <t>SECTION 2: VEGETABLE WAX &amp; MELTING LOSSES</t>
        </is>
      </c>
      <c r="B8" s="4" t="n"/>
      <c r="C8" s="4" t="n"/>
      <c r="D8" s="4" t="n"/>
      <c r="E8" s="4" t="n"/>
      <c r="F8" s="4" t="n"/>
    </row>
    <row r="9" ht="20" customHeight="1">
      <c r="A9" s="9" t="inlineStr">
        <is>
          <t>Raw Material Name</t>
        </is>
      </c>
      <c r="B9" s="9" t="inlineStr">
        <is>
          <t>Unit</t>
        </is>
      </c>
      <c r="C9" s="9" t="inlineStr">
        <is>
          <t>Net Usage</t>
        </is>
      </c>
      <c r="D9" s="9" t="inlineStr">
        <is>
          <t>Waste Margin %</t>
        </is>
      </c>
      <c r="E9" s="9" t="inlineStr">
        <is>
          <t>Unit Price</t>
        </is>
      </c>
      <c r="F9" s="9" t="inlineStr">
        <is>
          <t>Gross Cost with Waste</t>
        </is>
      </c>
    </row>
    <row r="10" ht="20" customHeight="1">
      <c r="A10" s="10" t="inlineStr">
        <is>
          <t>Golden Wax 464 Pure Soy Flakes</t>
        </is>
      </c>
      <c r="B10" s="11" t="inlineStr">
        <is>
          <t>kg</t>
        </is>
      </c>
      <c r="C10" s="12" t="n">
        <v>0.16</v>
      </c>
      <c r="D10" s="13" t="n">
        <v>0.08</v>
      </c>
      <c r="E10" s="8" t="n">
        <v>15</v>
      </c>
      <c r="F10" s="14">
        <f>C10*(1+D10)*E10</f>
        <v/>
      </c>
    </row>
    <row r="11" ht="20" customHeight="1">
      <c r="A11" s="15" t="inlineStr">
        <is>
          <t>⚠️ Including lost to waste &amp; processing margins (melting pot wall residue, cooling shrinkage &amp; heat gun touch-up):</t>
        </is>
      </c>
      <c r="B11" s="15" t="n"/>
      <c r="C11" s="15" t="n"/>
      <c r="D11" s="15" t="n"/>
      <c r="E11" s="15" t="n"/>
      <c r="F11" s="16">
        <f>C10*D10*E10</f>
        <v/>
      </c>
    </row>
    <row r="13" ht="22" customHeight="1">
      <c r="A13" s="4" t="inlineStr">
        <is>
          <t>SECTION 3: FRAGRANCE OIL, WICK &amp; GLASSWARE</t>
        </is>
      </c>
      <c r="B13" s="4" t="n"/>
      <c r="C13" s="4" t="n"/>
      <c r="D13" s="4" t="n"/>
      <c r="E13" s="4" t="n"/>
      <c r="F13" s="4" t="n"/>
    </row>
    <row r="14" ht="20" customHeight="1">
      <c r="A14" s="9" t="inlineStr">
        <is>
          <t>Component / Item</t>
        </is>
      </c>
      <c r="B14" s="9" t="n"/>
      <c r="C14" s="9" t="inlineStr">
        <is>
          <t>Quantity</t>
        </is>
      </c>
      <c r="D14" s="9" t="inlineStr">
        <is>
          <t>Unit Price</t>
        </is>
      </c>
      <c r="E14" s="9" t="inlineStr">
        <is>
          <t>Total Cost</t>
        </is>
      </c>
      <c r="F14" s="9" t="n"/>
    </row>
    <row r="15" ht="20" customHeight="1">
      <c r="A15" s="5" t="inlineStr">
        <is>
          <t>Premium Fragrance Oil (10% load — 16 g)</t>
        </is>
      </c>
      <c r="B15" s="5" t="n"/>
      <c r="C15" s="12" t="n">
        <v>1</v>
      </c>
      <c r="D15" s="8" t="n">
        <v>3.2</v>
      </c>
      <c r="E15" s="14">
        <f>C15*D15</f>
        <v/>
      </c>
      <c r="F15" s="14" t="n"/>
    </row>
    <row r="16" ht="20" customHeight="1">
      <c r="A16" s="5" t="inlineStr">
        <is>
          <t>8 oz Amber Glass Jar with Metal Screw Lid</t>
        </is>
      </c>
      <c r="B16" s="5" t="n"/>
      <c r="C16" s="12" t="n">
        <v>1</v>
      </c>
      <c r="D16" s="8" t="n">
        <v>2.2</v>
      </c>
      <c r="E16" s="14">
        <f>C16*D16</f>
        <v/>
      </c>
      <c r="F16" s="14" t="n"/>
    </row>
    <row r="17" ht="20" customHeight="1">
      <c r="A17" s="5" t="inlineStr">
        <is>
          <t>Crackling Wood Wick with Metal Anchor Clip</t>
        </is>
      </c>
      <c r="B17" s="5" t="n"/>
      <c r="C17" s="12" t="n">
        <v>1</v>
      </c>
      <c r="D17" s="8" t="n">
        <v>0.6</v>
      </c>
      <c r="E17" s="14">
        <f>C17*D17</f>
        <v/>
      </c>
      <c r="F17" s="14" t="n"/>
    </row>
    <row r="18" ht="20" customHeight="1">
      <c r="A18" s="17" t="inlineStr">
        <is>
          <t>TOTAL HARDWARE &amp; COMPONENTS:</t>
        </is>
      </c>
      <c r="B18" s="17" t="n"/>
      <c r="C18" s="17" t="n"/>
      <c r="D18" s="17" t="n"/>
      <c r="E18" s="18">
        <f>SUM(E15:E17)</f>
        <v/>
      </c>
      <c r="F18" s="18" t="n"/>
    </row>
    <row r="20" ht="22" customHeight="1">
      <c r="A20" s="4" t="inlineStr">
        <is>
          <t>SECTION 4: POURING SUPPLIES, SAFETY &amp; GIFT BOX</t>
        </is>
      </c>
      <c r="B20" s="4" t="n"/>
      <c r="C20" s="4" t="n"/>
      <c r="D20" s="4" t="n"/>
      <c r="E20" s="4" t="n"/>
      <c r="F20" s="4" t="n"/>
    </row>
    <row r="21" ht="20" customHeight="1">
      <c r="A21" s="5" t="inlineStr">
        <is>
          <t>High-Temp Wick Glue Dot &amp; Degreasing Wipe</t>
        </is>
      </c>
      <c r="B21" s="5" t="n"/>
      <c r="C21" s="12" t="n">
        <v>1</v>
      </c>
      <c r="D21" s="8" t="n">
        <v>0.25</v>
      </c>
      <c r="E21" s="14">
        <f>C21*D21</f>
        <v/>
      </c>
      <c r="F21" s="14" t="n"/>
    </row>
    <row r="22" ht="20" customHeight="1">
      <c r="A22" s="5" t="inlineStr">
        <is>
          <t>Caution &amp; Burning Instructions Bottom Safety Label</t>
        </is>
      </c>
      <c r="B22" s="5" t="n"/>
      <c r="C22" s="12" t="n">
        <v>1</v>
      </c>
      <c r="D22" s="8" t="n">
        <v>0.2</v>
      </c>
      <c r="E22" s="14">
        <f>C22*D22</f>
        <v/>
      </c>
      <c r="F22" s="14" t="n"/>
    </row>
    <row r="23" ht="20" customHeight="1">
      <c r="A23" s="5" t="inlineStr">
        <is>
          <t>Rigid Embossed Gift Tube with Scent Notes Story Card</t>
        </is>
      </c>
      <c r="B23" s="5" t="n"/>
      <c r="C23" s="12" t="n">
        <v>1</v>
      </c>
      <c r="D23" s="8" t="n">
        <v>1.8</v>
      </c>
      <c r="E23" s="14">
        <f>C23*D23</f>
        <v/>
      </c>
      <c r="F23" s="14" t="n"/>
    </row>
    <row r="24" ht="20" customHeight="1">
      <c r="A24" s="17" t="inlineStr">
        <is>
          <t>TOTAL SUPPLIES &amp; PACKAGING:</t>
        </is>
      </c>
      <c r="B24" s="17" t="n"/>
      <c r="C24" s="17" t="n"/>
      <c r="D24" s="17" t="n"/>
      <c r="E24" s="18">
        <f>SUM(E21:E23)</f>
        <v/>
      </c>
      <c r="F24" s="18" t="n"/>
    </row>
    <row r="26" ht="22" customHeight="1">
      <c r="A26" s="4" t="inlineStr">
        <is>
          <t>SECTION 5: LABOR &amp; EQUIPMENT DEPRECIATION</t>
        </is>
      </c>
      <c r="B26" s="4" t="n"/>
      <c r="C26" s="4" t="n"/>
      <c r="D26" s="4" t="n"/>
      <c r="E26" s="4" t="n"/>
      <c r="F26" s="4" t="n"/>
    </row>
    <row r="27" ht="20" customHeight="1">
      <c r="A27" s="5" t="inlineStr">
        <is>
          <t>Active Production / Craft Labor Time (T)</t>
        </is>
      </c>
      <c r="B27" s="5" t="n"/>
      <c r="C27" s="5" t="n"/>
      <c r="D27" s="5" t="n"/>
      <c r="E27" s="5" t="n"/>
      <c r="F27" s="19" t="n">
        <v>0.4</v>
      </c>
    </row>
    <row r="28" ht="20" customHeight="1">
      <c r="A28" s="5" t="inlineStr">
        <is>
          <t>Target Billable Labor Hourly Rate (R)</t>
        </is>
      </c>
      <c r="B28" s="5" t="n"/>
      <c r="C28" s="5" t="n"/>
      <c r="D28" s="5" t="n"/>
      <c r="E28" s="5" t="n"/>
      <c r="F28" s="20" t="n">
        <v>12</v>
      </c>
    </row>
    <row r="29" ht="20" customHeight="1">
      <c r="A29" s="5" t="inlineStr">
        <is>
          <t>Tool wear &amp; shop overhead allocated per hour (wax melter power, heat gun, digital scale &amp; infrared thermometer)</t>
        </is>
      </c>
      <c r="B29" s="5" t="n"/>
      <c r="C29" s="5" t="n"/>
      <c r="D29" s="5" t="n"/>
      <c r="E29" s="5" t="n"/>
      <c r="F29" s="20" t="n">
        <v>0.6</v>
      </c>
    </row>
    <row r="30" ht="20" customHeight="1">
      <c r="A30" s="17" t="inlineStr">
        <is>
          <t>TOTAL LABOR &amp; EQUIPMENT ALLOCATION (T × [R + Wear]):</t>
        </is>
      </c>
      <c r="B30" s="17" t="n"/>
      <c r="C30" s="17" t="n"/>
      <c r="D30" s="17" t="n"/>
      <c r="E30" s="17" t="n"/>
      <c r="F30" s="18">
        <f>F27*(F28+F29)</f>
        <v/>
      </c>
    </row>
    <row r="32" ht="22" customHeight="1">
      <c r="A32" s="4" t="inlineStr">
        <is>
          <t>SECTION 6: COST SUMMARY &amp; FINANCIAL DIAGNOSIS</t>
        </is>
      </c>
      <c r="B32" s="4" t="n"/>
      <c r="C32" s="4" t="n"/>
      <c r="D32" s="4" t="n"/>
      <c r="E32" s="4" t="n"/>
      <c r="F32" s="4" t="n"/>
    </row>
    <row r="33" ht="24" customHeight="1">
      <c r="A33" s="21" t="inlineStr">
        <is>
          <t>TOTAL PRODUCTION UNIT COST (Materials + Hardware + Supplies + Labor):</t>
        </is>
      </c>
      <c r="B33" s="21" t="n"/>
      <c r="C33" s="21" t="n"/>
      <c r="D33" s="21" t="n"/>
      <c r="E33" s="21" t="n"/>
      <c r="F33" s="22">
        <f>F10+E18+E24+F30</f>
        <v/>
      </c>
    </row>
    <row r="34" ht="24" customHeight="1">
      <c r="A34" s="23" t="inlineStr">
        <is>
          <t>NET WORKSHOP PROFIT PER UNIT (Selling Price − Total Cost):</t>
        </is>
      </c>
      <c r="B34" s="23" t="n"/>
      <c r="C34" s="23" t="n"/>
      <c r="D34" s="23" t="n"/>
      <c r="E34" s="23" t="n"/>
      <c r="F34" s="24">
        <f>F6-F33</f>
        <v/>
      </c>
    </row>
    <row r="35" ht="20" customHeight="1">
      <c r="A35" s="5" t="inlineStr">
        <is>
          <t>Net Profit Margin (Net Profit / Price):</t>
        </is>
      </c>
      <c r="B35" s="5" t="n"/>
      <c r="C35" s="5" t="n"/>
      <c r="D35" s="5" t="n"/>
      <c r="E35" s="5" t="n"/>
      <c r="F35" s="25">
        <f>IF(F6&gt;0, F34/F6, 0)</f>
        <v/>
      </c>
    </row>
    <row r="36" ht="28" customHeight="1">
      <c r="A36" s="26">
        <f>IF(F34&lt;0, "🔴 Profit illusion: candle sold at a loss. You work for free and subsidize fragrance and glassware!", IF(F35&lt;0.15, "🟡 Hidden risk: margin below 15%. A single cracked jar or frosting flaw wipes out profit.", "🟢 Healthy order: candle fully covers wax, premium oils, glassware, maker labor, and earns net profit."))</f>
        <v/>
      </c>
      <c r="B36" s="26" t="n"/>
      <c r="C36" s="26" t="n"/>
      <c r="D36" s="26" t="n"/>
      <c r="E36" s="26" t="n"/>
      <c r="F36" s="26" t="n"/>
    </row>
    <row r="38" ht="24" customHeight="1">
      <c r="A38" s="27" t="inlineStr">
        <is>
          <t>WANT PROFESSIONAL WORKSHOP MANAGEMENT? TRY OMNICRAFT ERP</t>
        </is>
      </c>
      <c r="B38" s="27" t="n"/>
      <c r="C38" s="27" t="n"/>
      <c r="D38" s="27" t="n"/>
      <c r="E38" s="27" t="n"/>
      <c r="F38" s="27" t="n"/>
    </row>
    <row r="39" ht="18" customHeight="1">
      <c r="A39" s="28" t="inlineStr">
        <is>
          <t>Local-first desktop ERP for artisans: recipes, batch moving-average inventory, and workbench kanban</t>
        </is>
      </c>
      <c r="B39" s="28" t="n"/>
      <c r="C39" s="28" t="n"/>
      <c r="D39" s="28" t="n"/>
      <c r="E39" s="28" t="n"/>
      <c r="F39" s="28" t="n"/>
    </row>
    <row r="40" ht="22" customHeight="1">
      <c r="A40" s="29" t="inlineStr">
        <is>
          <t>Download free from the official website: https://omnicraft-erp.com/</t>
        </is>
      </c>
      <c r="B40" s="29" t="n"/>
      <c r="C40" s="29" t="n"/>
      <c r="D40" s="29" t="n"/>
      <c r="E40" s="29" t="n"/>
      <c r="F40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2">
    <mergeCell ref="A30:E30"/>
    <mergeCell ref="A34:E34"/>
    <mergeCell ref="A15:B15"/>
    <mergeCell ref="E24:F24"/>
    <mergeCell ref="A11:E11"/>
    <mergeCell ref="E23:F23"/>
    <mergeCell ref="E14:F14"/>
    <mergeCell ref="A3:F3"/>
    <mergeCell ref="E17:F17"/>
    <mergeCell ref="A6:E6"/>
    <mergeCell ref="A26:F26"/>
    <mergeCell ref="A2:F2"/>
    <mergeCell ref="A16:B16"/>
    <mergeCell ref="A5:C5"/>
    <mergeCell ref="A32:F32"/>
    <mergeCell ref="A8:F8"/>
    <mergeCell ref="A24:D24"/>
    <mergeCell ref="A4:F4"/>
    <mergeCell ref="A20:F20"/>
    <mergeCell ref="A27:E27"/>
    <mergeCell ref="A38:F38"/>
    <mergeCell ref="A21:B21"/>
    <mergeCell ref="D5:F5"/>
    <mergeCell ref="A13:F13"/>
    <mergeCell ref="E15:F15"/>
    <mergeCell ref="A33:E33"/>
    <mergeCell ref="A14:B14"/>
    <mergeCell ref="A40:F40"/>
    <mergeCell ref="A17:B17"/>
    <mergeCell ref="A23:B23"/>
    <mergeCell ref="A39:F39"/>
    <mergeCell ref="A22:B22"/>
    <mergeCell ref="A18:D18"/>
    <mergeCell ref="A29:E29"/>
    <mergeCell ref="A35:E35"/>
    <mergeCell ref="E16:F16"/>
    <mergeCell ref="A36:F36"/>
    <mergeCell ref="A1:F1"/>
    <mergeCell ref="A28:E28"/>
    <mergeCell ref="E22:F22"/>
    <mergeCell ref="E18:F18"/>
    <mergeCell ref="E21:F21"/>
  </mergeCells>
  <hyperlinks>
    <hyperlink xmlns:r="http://schemas.openxmlformats.org/officeDocument/2006/relationships" ref="A40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2026-10-21T17:06:14Z</dcterms:created>
  <dcterms:modified xsi:type="dcterms:W3CDTF">2026-10-21T17:06:14Z</dcterms:modified>
</cp:coreProperties>
</file>