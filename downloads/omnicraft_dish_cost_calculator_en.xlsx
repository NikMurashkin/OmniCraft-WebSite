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Tech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 hrs&quot;"/>
    <numFmt numFmtId="167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RECIPE &amp; CULINARY FOOD COST CALCULATOR (OmniCraft ERP)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Recipe costing, gross vs net yields, 35% cooking shrinkage, vacuum packaging &amp; prep labor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Blue cells — editable user inputs. White and gray cells — locked formulas.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SECTION 1: PRODUCT INFO &amp; SELLING PRICE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Product Name / Order Reference</t>
        </is>
      </c>
      <c r="B5" s="5" t="n"/>
      <c r="C5" s="5" t="n"/>
      <c r="D5" s="6" t="inlineStr">
        <is>
          <t>Artisanal Handmade Beef &amp; Pork Dumplings (1 kg / 2.2 lbs)</t>
        </is>
      </c>
      <c r="E5" s="6" t="n"/>
      <c r="F5" s="6" t="n"/>
    </row>
    <row r="6" ht="22" customHeight="1">
      <c r="A6" s="7" t="inlineStr">
        <is>
          <t>Retail Selling Price to Customer (P)</t>
        </is>
      </c>
      <c r="B6" s="7" t="n"/>
      <c r="C6" s="7" t="n"/>
      <c r="D6" s="7" t="n"/>
      <c r="E6" s="7" t="n"/>
      <c r="F6" s="8" t="n">
        <v>14</v>
      </c>
    </row>
    <row r="8" ht="22" customHeight="1">
      <c r="A8" s="4" t="inlineStr">
        <is>
          <t>SECTION 2: GROSS RAW PROTEINS &amp; THERMAL COOKING LOSS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Raw Material Name</t>
        </is>
      </c>
      <c r="B9" s="9" t="inlineStr">
        <is>
          <t>Unit</t>
        </is>
      </c>
      <c r="C9" s="9" t="inlineStr">
        <is>
          <t>Net Usage</t>
        </is>
      </c>
      <c r="D9" s="9" t="inlineStr">
        <is>
          <t>Waste Margin %</t>
        </is>
      </c>
      <c r="E9" s="9" t="inlineStr">
        <is>
          <t>Unit Price</t>
        </is>
      </c>
      <c r="F9" s="9" t="inlineStr">
        <is>
          <t>Gross Cost with Waste</t>
        </is>
      </c>
    </row>
    <row r="10" ht="20" customHeight="1">
      <c r="A10" s="10" t="inlineStr">
        <is>
          <t>Raw Meat Cut Gross Weight (Beef &amp; Pork Blend)</t>
        </is>
      </c>
      <c r="B10" s="11" t="inlineStr">
        <is>
          <t>kg</t>
        </is>
      </c>
      <c r="C10" s="12" t="n">
        <v>0.65</v>
      </c>
      <c r="D10" s="13" t="n">
        <v>0.28</v>
      </c>
      <c r="E10" s="8" t="n">
        <v>8.5</v>
      </c>
      <c r="F10" s="14">
        <f>C10*(1+D10)*E10</f>
        <v/>
      </c>
    </row>
    <row r="11" ht="20" customHeight="1">
      <c r="A11" s="15" t="inlineStr">
        <is>
          <t>⚠️ Including lost to waste &amp; processing margins (silver-skin trimming, fat removal, bone yield &amp; thaw purge):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SECTION 3: DOUGH, AROMATICS, SPICES &amp; CONDIMENTS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Component / Item</t>
        </is>
      </c>
      <c r="B14" s="9" t="n"/>
      <c r="C14" s="9" t="inlineStr">
        <is>
          <t>Quantity</t>
        </is>
      </c>
      <c r="D14" s="9" t="inlineStr">
        <is>
          <t>Unit Price</t>
        </is>
      </c>
      <c r="E14" s="9" t="inlineStr">
        <is>
          <t>Total Cost</t>
        </is>
      </c>
      <c r="F14" s="9" t="n"/>
    </row>
    <row r="15" ht="20" customHeight="1">
      <c r="A15" s="5" t="inlineStr">
        <is>
          <t>Handmade Egg Pasta Dough Batch</t>
        </is>
      </c>
      <c r="B15" s="5" t="n"/>
      <c r="C15" s="12" t="n">
        <v>1</v>
      </c>
      <c r="D15" s="8" t="n">
        <v>1.4</v>
      </c>
      <c r="E15" s="14">
        <f>C15*D15</f>
        <v/>
      </c>
      <c r="F15" s="14" t="n"/>
    </row>
    <row r="16" ht="20" customHeight="1">
      <c r="A16" s="5" t="inlineStr">
        <is>
          <t>Aromatics (Onions, fresh garlic, ground pepper)</t>
        </is>
      </c>
      <c r="B16" s="5" t="n"/>
      <c r="C16" s="12" t="n">
        <v>1</v>
      </c>
      <c r="D16" s="8" t="n">
        <v>0.6</v>
      </c>
      <c r="E16" s="14">
        <f>C16*D16</f>
        <v/>
      </c>
      <c r="F16" s="14" t="n"/>
    </row>
    <row r="17" ht="20" customHeight="1">
      <c r="A17" s="5" t="inlineStr">
        <is>
          <t>House Dipping Sauce / Sour Cream Portion</t>
        </is>
      </c>
      <c r="B17" s="5" t="n"/>
      <c r="C17" s="12" t="n">
        <v>1</v>
      </c>
      <c r="D17" s="8" t="n">
        <v>0.7</v>
      </c>
      <c r="E17" s="14">
        <f>C17*D17</f>
        <v/>
      </c>
      <c r="F17" s="14" t="n"/>
    </row>
    <row r="18" ht="20" customHeight="1">
      <c r="A18" s="17" t="inlineStr">
        <is>
          <t>TOTAL HARDWARE &amp; COMPONENTS:</t>
        </is>
      </c>
      <c r="B18" s="17" t="n"/>
      <c r="C18" s="17" t="n"/>
      <c r="D18" s="17" t="n"/>
      <c r="E18" s="18">
        <f>SUM(E15:E17)</f>
        <v/>
      </c>
      <c r="F18" s="18" t="n"/>
    </row>
    <row r="20" ht="22" customHeight="1">
      <c r="A20" s="4" t="inlineStr">
        <is>
          <t>SECTION 4: FOOD PACKAGING &amp; COMPLIANCE LABELS</t>
        </is>
      </c>
      <c r="B20" s="4" t="n"/>
      <c r="C20" s="4" t="n"/>
      <c r="D20" s="4" t="n"/>
      <c r="E20" s="4" t="n"/>
      <c r="F20" s="4" t="n"/>
    </row>
    <row r="21" ht="20" customHeight="1">
      <c r="A21" s="5" t="inlineStr">
        <is>
          <t>Heavy Barrier Vacuum Seal Pouch (150 um)</t>
        </is>
      </c>
      <c r="B21" s="5" t="n"/>
      <c r="C21" s="12" t="n">
        <v>1</v>
      </c>
      <c r="D21" s="8" t="n">
        <v>0.45</v>
      </c>
      <c r="E21" s="14">
        <f>C21*D21</f>
        <v/>
      </c>
      <c r="F21" s="14" t="n"/>
    </row>
    <row r="22" ht="20" customHeight="1">
      <c r="A22" s="5" t="inlineStr">
        <is>
          <t>Nutritional Fact &amp; Shelf-Life Barcode Label</t>
        </is>
      </c>
      <c r="B22" s="5" t="n"/>
      <c r="C22" s="12" t="n">
        <v>1</v>
      </c>
      <c r="D22" s="8" t="n">
        <v>0.2</v>
      </c>
      <c r="E22" s="14">
        <f>C22*D22</f>
        <v/>
      </c>
      <c r="F22" s="14" t="n"/>
    </row>
    <row r="23" ht="20" customHeight="1">
      <c r="A23" s="5" t="inlineStr">
        <is>
          <t>Insulated Delivery Foil Carrier Bag</t>
        </is>
      </c>
      <c r="B23" s="5" t="n"/>
      <c r="C23" s="12" t="n">
        <v>1</v>
      </c>
      <c r="D23" s="8" t="n">
        <v>0.4</v>
      </c>
      <c r="E23" s="14">
        <f>C23*D23</f>
        <v/>
      </c>
      <c r="F23" s="14" t="n"/>
    </row>
    <row r="24" ht="20" customHeight="1">
      <c r="A24" s="17" t="inlineStr">
        <is>
          <t>TOTAL SUPPLIES &amp; PACKAGING:</t>
        </is>
      </c>
      <c r="B24" s="17" t="n"/>
      <c r="C24" s="17" t="n"/>
      <c r="D24" s="17" t="n"/>
      <c r="E24" s="18">
        <f>SUM(E21:E23)</f>
        <v/>
      </c>
      <c r="F24" s="18" t="n"/>
    </row>
    <row r="26" ht="22" customHeight="1">
      <c r="A26" s="4" t="inlineStr">
        <is>
          <t>SECTION 5: LABOR &amp; EQUIPMENT DEPRECIATION</t>
        </is>
      </c>
      <c r="B26" s="4" t="n"/>
      <c r="C26" s="4" t="n"/>
      <c r="D26" s="4" t="n"/>
      <c r="E26" s="4" t="n"/>
      <c r="F26" s="4" t="n"/>
    </row>
    <row r="27" ht="20" customHeight="1">
      <c r="A27" s="5" t="inlineStr">
        <is>
          <t>Active Production / Craft Labor Time (T)</t>
        </is>
      </c>
      <c r="B27" s="5" t="n"/>
      <c r="C27" s="5" t="n"/>
      <c r="D27" s="5" t="n"/>
      <c r="E27" s="5" t="n"/>
      <c r="F27" s="19" t="n">
        <v>0.7</v>
      </c>
    </row>
    <row r="28" ht="20" customHeight="1">
      <c r="A28" s="5" t="inlineStr">
        <is>
          <t>Target Billable Labor Hourly Rate (R)</t>
        </is>
      </c>
      <c r="B28" s="5" t="n"/>
      <c r="C28" s="5" t="n"/>
      <c r="D28" s="5" t="n"/>
      <c r="E28" s="5" t="n"/>
      <c r="F28" s="20" t="n">
        <v>10</v>
      </c>
    </row>
    <row r="29" ht="20" customHeight="1">
      <c r="A29" s="5" t="inlineStr">
        <is>
          <t>Tool wear &amp; shop overhead allocated per hour (blast freezer power, commercial induction &amp; water utility)</t>
        </is>
      </c>
      <c r="B29" s="5" t="n"/>
      <c r="C29" s="5" t="n"/>
      <c r="D29" s="5" t="n"/>
      <c r="E29" s="5" t="n"/>
      <c r="F29" s="20" t="n">
        <v>1.2</v>
      </c>
    </row>
    <row r="30" ht="20" customHeight="1">
      <c r="A30" s="17" t="inlineStr">
        <is>
          <t>TOTAL LABOR &amp; EQUIPMENT ALLOCATION (T × [R + Wear]):</t>
        </is>
      </c>
      <c r="B30" s="17" t="n"/>
      <c r="C30" s="17" t="n"/>
      <c r="D30" s="17" t="n"/>
      <c r="E30" s="17" t="n"/>
      <c r="F30" s="18">
        <f>F27*(F28+F29)</f>
        <v/>
      </c>
    </row>
    <row r="32" ht="22" customHeight="1">
      <c r="A32" s="4" t="inlineStr">
        <is>
          <t>SECTION 6: COST SUMMARY &amp; FINANCIAL DIAGNOSIS</t>
        </is>
      </c>
      <c r="B32" s="4" t="n"/>
      <c r="C32" s="4" t="n"/>
      <c r="D32" s="4" t="n"/>
      <c r="E32" s="4" t="n"/>
      <c r="F32" s="4" t="n"/>
    </row>
    <row r="33" ht="24" customHeight="1">
      <c r="A33" s="21" t="inlineStr">
        <is>
          <t>TOTAL PRODUCTION UNIT COST (Materials + Hardware + Supplies + Labor):</t>
        </is>
      </c>
      <c r="B33" s="21" t="n"/>
      <c r="C33" s="21" t="n"/>
      <c r="D33" s="21" t="n"/>
      <c r="E33" s="21" t="n"/>
      <c r="F33" s="22">
        <f>F10+E18+E24+F30</f>
        <v/>
      </c>
    </row>
    <row r="34" ht="24" customHeight="1">
      <c r="A34" s="23" t="inlineStr">
        <is>
          <t>NET WORKSHOP PROFIT PER UNIT (Selling Price − Total Cost):</t>
        </is>
      </c>
      <c r="B34" s="23" t="n"/>
      <c r="C34" s="23" t="n"/>
      <c r="D34" s="23" t="n"/>
      <c r="E34" s="23" t="n"/>
      <c r="F34" s="24">
        <f>F6-F33</f>
        <v/>
      </c>
    </row>
    <row r="35" ht="20" customHeight="1">
      <c r="A35" s="5" t="inlineStr">
        <is>
          <t>Net Profit Margin (Net Profit / Price):</t>
        </is>
      </c>
      <c r="B35" s="5" t="n"/>
      <c r="C35" s="5" t="n"/>
      <c r="D35" s="5" t="n"/>
      <c r="E35" s="5" t="n"/>
      <c r="F35" s="25">
        <f>IF(F6&gt;0, F34/F6, 0)</f>
        <v/>
      </c>
    </row>
    <row r="36" ht="28" customHeight="1">
      <c r="A36" s="26">
        <f>IF(F34&lt;0, "🔴 Profit illusion: dish sold at a loss. Production costs exceed menu price!", IF(F35&lt;0.15, "🟡 Hidden risk: net margin below 15%. A slight ingredient price hike wipes out profit.", "🟢 Healthy order: healthy net margin (15%+). Dish covers all ingredients, prep labor, and yields clean profit."))</f>
        <v/>
      </c>
      <c r="B36" s="26" t="n"/>
      <c r="C36" s="26" t="n"/>
      <c r="D36" s="26" t="n"/>
      <c r="E36" s="26" t="n"/>
      <c r="F36" s="26" t="n"/>
    </row>
    <row r="38" ht="24" customHeight="1">
      <c r="A38" s="27" t="inlineStr">
        <is>
          <t>WANT PROFESSIONAL WORKSHOP MANAGEMENT? TRY OMNICRAFT ERP</t>
        </is>
      </c>
      <c r="B38" s="27" t="n"/>
      <c r="C38" s="27" t="n"/>
      <c r="D38" s="27" t="n"/>
      <c r="E38" s="27" t="n"/>
      <c r="F38" s="27" t="n"/>
    </row>
    <row r="39" ht="18" customHeight="1">
      <c r="A39" s="28" t="inlineStr">
        <is>
          <t>Local-first desktop ERP for artisans: recipes, batch moving-average inventory, and workbench kanban</t>
        </is>
      </c>
      <c r="B39" s="28" t="n"/>
      <c r="C39" s="28" t="n"/>
      <c r="D39" s="28" t="n"/>
      <c r="E39" s="28" t="n"/>
      <c r="F39" s="28" t="n"/>
    </row>
    <row r="40" ht="22" customHeight="1">
      <c r="A40" s="29" t="inlineStr">
        <is>
          <t>Download free from the official website: https://omnicraft-erp.com/</t>
        </is>
      </c>
      <c r="B40" s="29" t="n"/>
      <c r="C40" s="29" t="n"/>
      <c r="D40" s="29" t="n"/>
      <c r="E40" s="29" t="n"/>
      <c r="F40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A30:E30"/>
    <mergeCell ref="A34:E34"/>
    <mergeCell ref="A15:B15"/>
    <mergeCell ref="E24:F24"/>
    <mergeCell ref="A11:E11"/>
    <mergeCell ref="E23:F23"/>
    <mergeCell ref="E14:F14"/>
    <mergeCell ref="A3:F3"/>
    <mergeCell ref="E17:F17"/>
    <mergeCell ref="A6:E6"/>
    <mergeCell ref="A26:F26"/>
    <mergeCell ref="A2:F2"/>
    <mergeCell ref="A16:B16"/>
    <mergeCell ref="A5:C5"/>
    <mergeCell ref="A32:F32"/>
    <mergeCell ref="A8:F8"/>
    <mergeCell ref="A24:D24"/>
    <mergeCell ref="A4:F4"/>
    <mergeCell ref="A20:F20"/>
    <mergeCell ref="A27:E27"/>
    <mergeCell ref="A38:F38"/>
    <mergeCell ref="A21:B21"/>
    <mergeCell ref="D5:F5"/>
    <mergeCell ref="A13:F13"/>
    <mergeCell ref="E15:F15"/>
    <mergeCell ref="A33:E33"/>
    <mergeCell ref="A14:B14"/>
    <mergeCell ref="A40:F40"/>
    <mergeCell ref="A17:B17"/>
    <mergeCell ref="A23:B23"/>
    <mergeCell ref="A39:F39"/>
    <mergeCell ref="A22:B22"/>
    <mergeCell ref="A18:D18"/>
    <mergeCell ref="A29:E29"/>
    <mergeCell ref="A35:E35"/>
    <mergeCell ref="E16:F16"/>
    <mergeCell ref="A36:F36"/>
    <mergeCell ref="A1:F1"/>
    <mergeCell ref="A28:E28"/>
    <mergeCell ref="E22:F22"/>
    <mergeCell ref="E18:F18"/>
    <mergeCell ref="E21:F21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